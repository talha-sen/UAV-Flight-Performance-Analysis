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c5107c0ad88ec5/Masaüstü/"/>
    </mc:Choice>
  </mc:AlternateContent>
  <xr:revisionPtr revIDLastSave="2" documentId="8_{BCEBF8E1-C4D3-43DB-8FA8-7F090F3873CB}" xr6:coauthVersionLast="47" xr6:coauthVersionMax="47" xr10:uidLastSave="{35972B28-5AE6-4975-A97E-7A3CFEDFF313}"/>
  <bookViews>
    <workbookView xWindow="-120" yWindow="-120" windowWidth="20730" windowHeight="1116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F3" i="1"/>
  <c r="F4" i="1"/>
  <c r="F5" i="1"/>
  <c r="F6" i="1"/>
  <c r="F7" i="1"/>
  <c r="F8" i="1"/>
  <c r="F9" i="1"/>
  <c r="F10" i="1"/>
  <c r="F11" i="1"/>
  <c r="F2" i="1"/>
  <c r="E7" i="1"/>
  <c r="E8" i="1"/>
  <c r="E9" i="1"/>
  <c r="E10" i="1"/>
  <c r="E11" i="1"/>
  <c r="D7" i="1"/>
  <c r="D8" i="1"/>
  <c r="D9" i="1"/>
  <c r="D10" i="1"/>
  <c r="D11" i="1"/>
  <c r="C7" i="1"/>
  <c r="C8" i="1"/>
  <c r="C9" i="1"/>
  <c r="C10" i="1"/>
  <c r="C11" i="1"/>
  <c r="B7" i="1"/>
  <c r="B8" i="1"/>
  <c r="B9" i="1"/>
  <c r="B10" i="1"/>
  <c r="B11" i="1"/>
  <c r="E3" i="1"/>
  <c r="E4" i="1"/>
  <c r="E5" i="1"/>
  <c r="E6" i="1"/>
  <c r="E2" i="1"/>
  <c r="D3" i="1"/>
  <c r="D4" i="1"/>
  <c r="D5" i="1"/>
  <c r="D6" i="1"/>
  <c r="D2" i="1"/>
  <c r="C3" i="1"/>
  <c r="C4" i="1"/>
  <c r="C5" i="1"/>
  <c r="C6" i="1"/>
  <c r="C2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<sst xmlns="http://schemas.openxmlformats.org/spreadsheetml/2006/main" count="12" uniqueCount="12">
  <si>
    <t>V</t>
  </si>
  <si>
    <t>CL</t>
  </si>
  <si>
    <t>CDi</t>
  </si>
  <si>
    <t>CD</t>
  </si>
  <si>
    <t>D</t>
  </si>
  <si>
    <t>P (W)</t>
  </si>
  <si>
    <t>P available</t>
  </si>
  <si>
    <t>Throttle</t>
  </si>
  <si>
    <t>P excess</t>
  </si>
  <si>
    <t>ROC</t>
  </si>
  <si>
    <t>Endurance(h)</t>
  </si>
  <si>
    <t>Range(km)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</si>
</sst>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A4" workbookViewId="0">
      <selection activeCell="H13" sqref="H13"/>
    </sheetView>
  </sheetViews>
  <sheetFormatPr defaultRowHeight="15" x14ac:dyDescent="0.25"/>
  <cols>
    <col min="2" max="2" width="25.28515625" bestFit="1" customWidth="1"/>
    <col min="3" max="3" width="12.28515625" bestFit="1" customWidth="1"/>
    <col min="4" max="4" width="10.140625" bestFit="1" customWidth="1"/>
    <col min="5" max="5" width="23.42578125" bestFit="1" customWidth="1"/>
    <col min="7" max="7" width="10.140625" bestFit="1" customWidth="1"/>
    <col min="10" max="10" width="14.140625" bestFit="1" customWidth="1"/>
    <col min="11" max="11" width="12.5703125" bestFit="1" customWidth="1"/>
    <col min="12" max="12" width="11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</v>
      </c>
      <c r="B2">
        <f>2*78.48/(1.225*A2^2*0.8)</f>
        <v>1.6016326530612244</v>
      </c>
      <c r="C2">
        <f>0.055*B2^2</f>
        <v>0.14108749354435651</v>
      </c>
      <c r="D2">
        <f>0.007+C2</f>
        <v>0.14808749354435652</v>
      </c>
      <c r="E2">
        <f>0.5*1.225*A2^2*0.8*D2</f>
        <v>7.2562871836734706</v>
      </c>
      <c r="F2">
        <f>A2*E2</f>
        <v>72.562871836734701</v>
      </c>
      <c r="G2">
        <v>150</v>
      </c>
      <c r="H2">
        <f>F2/150</f>
        <v>0.48375247891156464</v>
      </c>
      <c r="I2">
        <f>G2-F2</f>
        <v>77.437128163265299</v>
      </c>
      <c r="J2">
        <f>(G2-F2)/78.48</f>
        <v>0.98671162287544978</v>
      </c>
      <c r="K2">
        <f>300/F2</f>
        <v>4.1343457391680305</v>
      </c>
      <c r="L2">
        <f>A2*K2*3.6</f>
        <v>148.83644661004911</v>
      </c>
    </row>
    <row r="3" spans="1:12" x14ac:dyDescent="0.25">
      <c r="A3">
        <v>12</v>
      </c>
      <c r="B3">
        <f t="shared" ref="B3:B11" si="0">2*78.48/(1.225*A3^2*0.8)</f>
        <v>1.1122448979591837</v>
      </c>
      <c r="C3">
        <f t="shared" ref="C3:C11" si="1">0.055*B3^2</f>
        <v>6.8039879216992921E-2</v>
      </c>
      <c r="D3">
        <f t="shared" ref="D3:D11" si="2">0.007+C3</f>
        <v>7.5039879216992927E-2</v>
      </c>
      <c r="E3">
        <f t="shared" ref="E3:E11" si="3">0.5*1.225*A3^2*0.8*D3</f>
        <v>5.2948138775510207</v>
      </c>
      <c r="F3">
        <f t="shared" ref="F3:F11" si="4">A3*E3</f>
        <v>63.537766530612245</v>
      </c>
      <c r="G3">
        <v>150</v>
      </c>
      <c r="H3">
        <f t="shared" ref="H3:H11" si="5">F3/150</f>
        <v>0.42358511020408163</v>
      </c>
      <c r="I3">
        <f t="shared" ref="I3:I11" si="6">G3-F3</f>
        <v>86.462233469387755</v>
      </c>
      <c r="J3">
        <f t="shared" ref="J3:J11" si="7">(G3-F3)/78.48</f>
        <v>1.1017104162766023</v>
      </c>
      <c r="K3">
        <f t="shared" ref="K3:K11" si="8">300/F3</f>
        <v>4.7216012834738406</v>
      </c>
      <c r="L3">
        <f t="shared" ref="L3:L11" si="9">A3*K3*3.6</f>
        <v>203.97317544606992</v>
      </c>
    </row>
    <row r="4" spans="1:12" x14ac:dyDescent="0.25">
      <c r="A4">
        <v>15</v>
      </c>
      <c r="B4">
        <f t="shared" si="0"/>
        <v>0.71183673469387754</v>
      </c>
      <c r="C4">
        <f t="shared" si="1"/>
        <v>2.7869134527280296E-2</v>
      </c>
      <c r="D4">
        <f t="shared" si="2"/>
        <v>3.4869134527280299E-2</v>
      </c>
      <c r="E4">
        <f t="shared" si="3"/>
        <v>3.8443220816326531</v>
      </c>
      <c r="F4">
        <f t="shared" si="4"/>
        <v>57.664831224489795</v>
      </c>
      <c r="G4">
        <v>150</v>
      </c>
      <c r="H4">
        <f t="shared" si="5"/>
        <v>0.38443220816326529</v>
      </c>
      <c r="I4">
        <f t="shared" si="6"/>
        <v>92.335168775510198</v>
      </c>
      <c r="J4">
        <f t="shared" si="7"/>
        <v>1.1765439446420769</v>
      </c>
      <c r="K4">
        <f t="shared" si="8"/>
        <v>5.2024777256712476</v>
      </c>
      <c r="L4">
        <f t="shared" si="9"/>
        <v>280.93379718624738</v>
      </c>
    </row>
    <row r="5" spans="1:12" x14ac:dyDescent="0.25">
      <c r="A5">
        <v>18</v>
      </c>
      <c r="B5">
        <f t="shared" si="0"/>
        <v>0.49433106575963714</v>
      </c>
      <c r="C5">
        <f t="shared" si="1"/>
        <v>1.3439976141628228E-2</v>
      </c>
      <c r="D5">
        <f t="shared" si="2"/>
        <v>2.0439976141628229E-2</v>
      </c>
      <c r="E5">
        <f t="shared" si="3"/>
        <v>3.2450506122448979</v>
      </c>
      <c r="F5">
        <f t="shared" si="4"/>
        <v>58.410911020408165</v>
      </c>
      <c r="G5">
        <v>150</v>
      </c>
      <c r="H5">
        <f t="shared" si="5"/>
        <v>0.38940607346938777</v>
      </c>
      <c r="I5">
        <f t="shared" si="6"/>
        <v>91.589088979591835</v>
      </c>
      <c r="J5">
        <f t="shared" si="7"/>
        <v>1.1670373213505585</v>
      </c>
      <c r="K5">
        <f t="shared" si="8"/>
        <v>5.1360267244450801</v>
      </c>
      <c r="L5">
        <f t="shared" si="9"/>
        <v>332.81453174404123</v>
      </c>
    </row>
    <row r="6" spans="1:12" x14ac:dyDescent="0.25">
      <c r="A6">
        <v>20</v>
      </c>
      <c r="B6">
        <f t="shared" si="0"/>
        <v>0.40040816326530609</v>
      </c>
      <c r="C6">
        <f t="shared" si="1"/>
        <v>8.817968346522282E-3</v>
      </c>
      <c r="D6">
        <f t="shared" si="2"/>
        <v>1.5817968346522281E-2</v>
      </c>
      <c r="E6">
        <f t="shared" si="3"/>
        <v>3.1003217959183678</v>
      </c>
      <c r="F6">
        <f t="shared" si="4"/>
        <v>62.006435918367359</v>
      </c>
      <c r="G6">
        <v>150</v>
      </c>
      <c r="H6">
        <f t="shared" si="5"/>
        <v>0.41337623945578239</v>
      </c>
      <c r="I6">
        <f t="shared" si="6"/>
        <v>87.993564081632641</v>
      </c>
      <c r="J6">
        <f t="shared" si="7"/>
        <v>1.121222783914789</v>
      </c>
      <c r="K6">
        <f t="shared" si="8"/>
        <v>4.8382074466424045</v>
      </c>
      <c r="L6">
        <f t="shared" si="9"/>
        <v>348.35093615825315</v>
      </c>
    </row>
    <row r="7" spans="1:12" x14ac:dyDescent="0.25">
      <c r="A7">
        <v>22</v>
      </c>
      <c r="B7">
        <f t="shared" si="0"/>
        <v>0.33091583740934383</v>
      </c>
      <c r="C7">
        <f t="shared" si="1"/>
        <v>6.0227910296580004E-3</v>
      </c>
      <c r="D7">
        <f t="shared" si="2"/>
        <v>1.3022791029658001E-2</v>
      </c>
      <c r="E7">
        <f t="shared" si="3"/>
        <v>3.0884851205936923</v>
      </c>
      <c r="F7">
        <f t="shared" si="4"/>
        <v>67.946672653061228</v>
      </c>
      <c r="G7">
        <v>150</v>
      </c>
      <c r="H7">
        <f t="shared" si="5"/>
        <v>0.45297781768707485</v>
      </c>
      <c r="I7">
        <f t="shared" si="6"/>
        <v>82.053327346938772</v>
      </c>
      <c r="J7">
        <f t="shared" si="7"/>
        <v>1.0455316940231749</v>
      </c>
      <c r="K7">
        <f t="shared" si="8"/>
        <v>4.4152272405127695</v>
      </c>
      <c r="L7">
        <f t="shared" si="9"/>
        <v>349.68599744861137</v>
      </c>
    </row>
    <row r="8" spans="1:12" x14ac:dyDescent="0.25">
      <c r="A8">
        <v>25</v>
      </c>
      <c r="B8">
        <f t="shared" si="0"/>
        <v>0.25626122448979594</v>
      </c>
      <c r="C8">
        <f t="shared" si="1"/>
        <v>3.6118398347355276E-3</v>
      </c>
      <c r="D8">
        <f t="shared" si="2"/>
        <v>1.0611839834735529E-2</v>
      </c>
      <c r="E8">
        <f t="shared" si="3"/>
        <v>3.2498759493877558</v>
      </c>
      <c r="F8">
        <f t="shared" si="4"/>
        <v>81.2468987346939</v>
      </c>
      <c r="G8">
        <v>150</v>
      </c>
      <c r="H8">
        <f t="shared" si="5"/>
        <v>0.54164599156462601</v>
      </c>
      <c r="I8">
        <f t="shared" si="6"/>
        <v>68.7531012653061</v>
      </c>
      <c r="J8">
        <f t="shared" si="7"/>
        <v>0.87605888462418569</v>
      </c>
      <c r="K8">
        <f t="shared" si="8"/>
        <v>3.6924486309271836</v>
      </c>
      <c r="L8">
        <f t="shared" si="9"/>
        <v>332.32037678344653</v>
      </c>
    </row>
    <row r="9" spans="1:12" x14ac:dyDescent="0.25">
      <c r="A9">
        <v>28</v>
      </c>
      <c r="B9">
        <f t="shared" si="0"/>
        <v>0.20428987921699288</v>
      </c>
      <c r="C9">
        <f t="shared" si="1"/>
        <v>2.2953895112771444E-3</v>
      </c>
      <c r="D9">
        <f t="shared" si="2"/>
        <v>9.295389511277145E-3</v>
      </c>
      <c r="E9">
        <f t="shared" si="3"/>
        <v>3.5709168346522286</v>
      </c>
      <c r="F9">
        <f t="shared" si="4"/>
        <v>99.985671370262395</v>
      </c>
      <c r="G9">
        <v>150</v>
      </c>
      <c r="H9">
        <f t="shared" si="5"/>
        <v>0.66657114246841598</v>
      </c>
      <c r="I9">
        <f t="shared" si="6"/>
        <v>50.014328629737605</v>
      </c>
      <c r="J9">
        <f t="shared" si="7"/>
        <v>0.63728757173467898</v>
      </c>
      <c r="K9">
        <f t="shared" si="8"/>
        <v>3.0004299204938438</v>
      </c>
      <c r="L9">
        <f t="shared" si="9"/>
        <v>302.44333598577947</v>
      </c>
    </row>
    <row r="10" spans="1:12" x14ac:dyDescent="0.25">
      <c r="A10">
        <v>30</v>
      </c>
      <c r="B10">
        <f t="shared" si="0"/>
        <v>0.17795918367346938</v>
      </c>
      <c r="C10">
        <f t="shared" si="1"/>
        <v>1.7418209079550185E-3</v>
      </c>
      <c r="D10">
        <f t="shared" si="2"/>
        <v>8.7418209079550193E-3</v>
      </c>
      <c r="E10">
        <f t="shared" si="3"/>
        <v>3.8551430204081636</v>
      </c>
      <c r="F10">
        <f t="shared" si="4"/>
        <v>115.65429061224491</v>
      </c>
      <c r="G10">
        <v>150</v>
      </c>
      <c r="H10">
        <f t="shared" si="5"/>
        <v>0.77102860408163276</v>
      </c>
      <c r="I10">
        <f t="shared" si="6"/>
        <v>34.345709387755093</v>
      </c>
      <c r="J10">
        <f t="shared" si="7"/>
        <v>0.43763646008862245</v>
      </c>
      <c r="K10">
        <f t="shared" si="8"/>
        <v>2.593937487419403</v>
      </c>
      <c r="L10">
        <f t="shared" si="9"/>
        <v>280.14524864129555</v>
      </c>
    </row>
    <row r="11" spans="1:12" x14ac:dyDescent="0.25">
      <c r="A11">
        <v>35</v>
      </c>
      <c r="B11">
        <f t="shared" si="0"/>
        <v>0.13074552269887549</v>
      </c>
      <c r="C11">
        <f t="shared" si="1"/>
        <v>9.4019154381911924E-4</v>
      </c>
      <c r="D11">
        <f t="shared" si="2"/>
        <v>7.9401915438191192E-3</v>
      </c>
      <c r="E11">
        <f t="shared" si="3"/>
        <v>4.7660999741774264</v>
      </c>
      <c r="F11">
        <f t="shared" si="4"/>
        <v>166.81349909620991</v>
      </c>
      <c r="G11">
        <v>150</v>
      </c>
      <c r="H11">
        <f t="shared" si="5"/>
        <v>1.1120899939747326</v>
      </c>
      <c r="I11">
        <f t="shared" si="6"/>
        <v>-16.81349909620991</v>
      </c>
      <c r="J11">
        <f t="shared" si="7"/>
        <v>-0.21423928511990201</v>
      </c>
      <c r="K11">
        <f t="shared" si="8"/>
        <v>1.7984156056038043</v>
      </c>
      <c r="L11">
        <f t="shared" si="9"/>
        <v>226.60036630607937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Kübra Şenköylü</cp:lastModifiedBy>
  <cp:revision/>
  <dcterms:created xsi:type="dcterms:W3CDTF">2026-03-22T08:41:20Z</dcterms:created>
  <dcterms:modified xsi:type="dcterms:W3CDTF">2026-03-28T20:23:52Z</dcterms:modified>
  <cp:category/>
  <cp:contentStatus/>
</cp:coreProperties>
</file>