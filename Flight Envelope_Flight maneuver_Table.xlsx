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F62D51C-9987-44ED-820D-4902C8B744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<sst xmlns="http://schemas.openxmlformats.org/spreadsheetml/2006/main" count="16" uniqueCount="16">
  <si>
    <t>V</t>
  </si>
  <si>
    <t>n_stall eğrisi</t>
  </si>
  <si>
    <t>n_max</t>
  </si>
  <si>
    <t>n_min</t>
  </si>
  <si>
    <t>X_stall</t>
  </si>
  <si>
    <t>Y_stall</t>
  </si>
  <si>
    <t>X_safe</t>
  </si>
  <si>
    <t>Y_safe</t>
  </si>
  <si>
    <t>X_end</t>
  </si>
  <si>
    <t>Y_end</t>
  </si>
  <si>
    <t>X_range</t>
  </si>
  <si>
    <t>Y_range</t>
  </si>
  <si>
    <t>X_max</t>
  </si>
  <si>
    <t>Y_max</t>
  </si>
  <si>
    <t>Va_x</t>
  </si>
  <si>
    <t>Va_y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</si>
</sst>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Flight Envelope and Maneuver Envelope (V-n Diagram)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n_stall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Sayfa1!$A$2:$A$14</c:f>
              <c:numCache>
                <c:formatCode>General</c:formatCode>
                <c:ptCount val="1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30</c:v>
                </c:pt>
                <c:pt idx="11">
                  <c:v>33</c:v>
                </c:pt>
                <c:pt idx="12">
                  <c:v>35</c:v>
                </c:pt>
              </c:numCache>
            </c:numRef>
          </c:xVal>
          <c:yVal>
            <c:numRef>
              <c:f>Sayfa1!$B$2:$B$14</c:f>
              <c:numCache>
                <c:formatCode>General</c:formatCode>
                <c:ptCount val="13"/>
                <c:pt idx="0">
                  <c:v>0.81167176350662595</c:v>
                </c:pt>
                <c:pt idx="1">
                  <c:v>0.98212283384301757</c:v>
                </c:pt>
                <c:pt idx="2">
                  <c:v>1.1688073394495413</c:v>
                </c:pt>
                <c:pt idx="3">
                  <c:v>1.3717252803261977</c:v>
                </c:pt>
                <c:pt idx="4">
                  <c:v>1.8262614678899083</c:v>
                </c:pt>
                <c:pt idx="5">
                  <c:v>2.629816513761468</c:v>
                </c:pt>
                <c:pt idx="6">
                  <c:v>3.2466870540265038</c:v>
                </c:pt>
                <c:pt idx="7">
                  <c:v>3.9284913353720703</c:v>
                </c:pt>
                <c:pt idx="8">
                  <c:v>5.0729485219164117</c:v>
                </c:pt>
                <c:pt idx="9">
                  <c:v>6.3635066258919482</c:v>
                </c:pt>
                <c:pt idx="10">
                  <c:v>7.3050458715596331</c:v>
                </c:pt>
                <c:pt idx="11">
                  <c:v>8.839105504587156</c:v>
                </c:pt>
                <c:pt idx="12">
                  <c:v>9.9429791029561674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E-43BC-B83F-C8366A6F7E25}"/>
            </c:ext>
          </c:extLst>
        </c:ser>
        <c:ser>
          <c:idx val="2"/>
          <c:order val="1"/>
          <c:tx>
            <c:strRef>
              <c:f>{"n_min"}</c:f>
              <c:strCache>
                <c:ptCount val="1"/>
                <c:pt idx="0">
                  <c:v>n_min</c:v>
                </c:pt>
              </c:strCache>
            </c:strRef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Sayfa1!A2:A14</c:f>
              <c:numCache>
                <c:formatCode>General</c:formatCode>
                <c:ptCount val="1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30</c:v>
                </c:pt>
                <c:pt idx="11">
                  <c:v>33</c:v>
                </c:pt>
                <c:pt idx="12">
                  <c:v>35</c:v>
                </c:pt>
              </c:numCache>
            </c:numRef>
          </c:xVal>
          <c:yVal>
            <c:numRef>
              <c:f>Sayfa1!D2:D14</c:f>
              <c:numCache>
                <c:formatCode>General</c:formatCode>
                <c:ptCount val="1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2E-43BC-B83F-C8366A6F7E25}"/>
            </c:ext>
          </c:extLst>
        </c:ser>
        <c:ser>
          <c:idx val="3"/>
          <c:order val="2"/>
          <c:tx>
            <c:strRef>
              <c:f>{"stall"}</c:f>
              <c:strCache>
                <c:ptCount val="1"/>
                <c:pt idx="0">
                  <c:v>stall</c:v>
                </c:pt>
              </c:strCache>
            </c:strRef>
          </c:tx>
          <c:spPr>
            <a:ln w="1270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Sayfa1!E2:E3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Sayfa1!F2:F3</c:f>
              <c:numCache>
                <c:formatCode>General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2E-43BC-B83F-C8366A6F7E25}"/>
            </c:ext>
          </c:extLst>
        </c:ser>
        <c:ser>
          <c:idx val="4"/>
          <c:order val="3"/>
          <c:tx>
            <c:strRef>
              <c:f>{"safe"}</c:f>
              <c:strCache>
                <c:ptCount val="1"/>
                <c:pt idx="0">
                  <c:v>safe</c:v>
                </c:pt>
              </c:strCache>
            </c:strRef>
          </c:tx>
          <c:spPr>
            <a:ln w="1270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Sayfa1!G2:G3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xVal>
          <c:yVal>
            <c:numRef>
              <c:f>Sayfa1!H2:H3</c:f>
              <c:numCache>
                <c:formatCode>General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2E-43BC-B83F-C8366A6F7E25}"/>
            </c:ext>
          </c:extLst>
        </c:ser>
        <c:ser>
          <c:idx val="5"/>
          <c:order val="4"/>
          <c:tx>
            <c:strRef>
              <c:f>{"endurance"}</c:f>
              <c:strCache>
                <c:ptCount val="1"/>
                <c:pt idx="0">
                  <c:v>endurance</c:v>
                </c:pt>
              </c:strCache>
            </c:strRef>
          </c:tx>
          <c:spPr>
            <a:ln w="1270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Sayfa1!I2:I3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Sayfa1!J2:J3</c:f>
              <c:numCache>
                <c:formatCode>General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2E-43BC-B83F-C8366A6F7E25}"/>
            </c:ext>
          </c:extLst>
        </c:ser>
        <c:ser>
          <c:idx val="6"/>
          <c:order val="5"/>
          <c:tx>
            <c:strRef>
              <c:f>{"range"}</c:f>
              <c:strCache>
                <c:ptCount val="1"/>
                <c:pt idx="0">
                  <c:v>range</c:v>
                </c:pt>
              </c:strCache>
            </c:strRef>
          </c:tx>
          <c:spPr>
            <a:ln w="1270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Sayfa1!K2:K3</c:f>
              <c:numCache>
                <c:formatCode>General</c:formatCode>
                <c:ptCount val="2"/>
                <c:pt idx="0">
                  <c:v>22</c:v>
                </c:pt>
                <c:pt idx="1">
                  <c:v>22</c:v>
                </c:pt>
              </c:numCache>
            </c:numRef>
          </c:xVal>
          <c:yVal>
            <c:numRef>
              <c:f>Sayfa1!L2:L3</c:f>
              <c:numCache>
                <c:formatCode>General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2E-43BC-B83F-C8366A6F7E25}"/>
            </c:ext>
          </c:extLst>
        </c:ser>
        <c:ser>
          <c:idx val="7"/>
          <c:order val="6"/>
          <c:tx>
            <c:strRef>
              <c:f>{"V_max"}</c:f>
              <c:strCache>
                <c:ptCount val="1"/>
                <c:pt idx="0">
                  <c:v>V_max</c:v>
                </c:pt>
              </c:strCache>
            </c:strRef>
          </c:tx>
          <c:spPr>
            <a:ln w="1270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Sayfa1!M2:M3</c:f>
              <c:numCache>
                <c:formatCode>General</c:formatCode>
                <c:ptCount val="2"/>
                <c:pt idx="0">
                  <c:v>33</c:v>
                </c:pt>
                <c:pt idx="1">
                  <c:v>33</c:v>
                </c:pt>
              </c:numCache>
            </c:numRef>
          </c:xVal>
          <c:yVal>
            <c:numRef>
              <c:f>Sayfa1!N2:N3</c:f>
              <c:numCache>
                <c:formatCode>General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02E-43BC-B83F-C8366A6F7E25}"/>
            </c:ext>
          </c:extLst>
        </c:ser>
        <c:ser>
          <c:idx val="1"/>
          <c:order val="7"/>
          <c:tx>
            <c:strRef>
              <c:f>{"n_max"}</c:f>
              <c:strCache>
                <c:ptCount val="1"/>
                <c:pt idx="0">
                  <c:v>n_max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Sayfa1!A2:A14</c:f>
              <c:numCache>
                <c:formatCode>General</c:formatCode>
                <c:ptCount val="1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30</c:v>
                </c:pt>
                <c:pt idx="11">
                  <c:v>33</c:v>
                </c:pt>
                <c:pt idx="12">
                  <c:v>35</c:v>
                </c:pt>
              </c:numCache>
            </c:numRef>
          </c:xVal>
          <c:yVal>
            <c:numRef>
              <c:f>Sayfa1!C2:C14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02E-43BC-B83F-C8366A6F7E25}"/>
            </c:ext>
          </c:extLst>
        </c:ser>
        <c:ser>
          <c:idx val="8"/>
          <c:order val="8"/>
          <c:tx>
            <c:strRef>
              <c:f>{"Va"}</c:f>
              <c:strCache>
                <c:ptCount val="1"/>
                <c:pt idx="0">
                  <c:v>Va</c:v>
                </c:pt>
              </c:strCache>
            </c:strRef>
          </c:tx>
          <c:spPr>
            <a:ln w="19050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rgbClr val="A6A6A6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Sayfa1!O2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Sayfa1!P2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02E-43BC-B83F-C8366A6F7E25}"/>
            </c:ext>
          </c:extLst>
        </c:ser>
        <c:ser>
          <c:idx val="9"/>
          <c:order val="9"/>
          <c:tx>
            <c:v>n_stall curve</c:v>
          </c:tx>
          <c:spPr>
            <a:ln w="19050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Sayfa1!Q2</c:f>
              <c:numCache>
                <c:formatCode>General</c:formatCode>
                <c:ptCount val="1"/>
                <c:pt idx="0">
                  <c:v>35</c:v>
                </c:pt>
              </c:numCache>
            </c:numRef>
          </c:xVal>
          <c:yVal>
            <c:numRef>
              <c:f>Sayfa1!R2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02E-43BC-B83F-C8366A6F7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34504"/>
        <c:axId val="1314743304"/>
      </c:scatterChart>
      <c:valAx>
        <c:axId val="10103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43304"/>
        <c:crosses val="autoZero"/>
        <c:crossBetween val="midCat"/>
      </c:valAx>
      <c:valAx>
        <c:axId val="131474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4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114300</xdr:rowOff>
    </xdr:from>
    <xdr:to>
      <xdr:col>13</xdr:col>
      <xdr:colOff>457200</xdr:colOff>
      <xdr:row>18</xdr:row>
      <xdr:rowOff>0</xdr:rowOff>
    </xdr:to>
    <xdr:graphicFrame macro="">
      <xdr:nvGraphicFramePr>
        <xdr:cNvPr id="2" name="Çizelge 1">
          <a:extLst>
            <a:ext uri="{FF2B5EF4-FFF2-40B4-BE49-F238E27FC236}">
              <a16:creationId xmlns:a16="http://schemas.microsoft.com/office/drawing/2014/main" id="{E159C4BC-2F80-0E98-3908-6284B1DB2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B1" workbookViewId="0">
      <selection activeCell="Q2" sqref="Q2"/>
    </sheetView>
  </sheetViews>
  <sheetFormatPr defaultRowHeight="15"/>
  <cols>
    <col min="2" max="2" width="30.7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8">
      <c r="A2">
        <v>10</v>
      </c>
      <c r="B2">
        <f>(0.5*1.225*A2^2*0.8*1.3)/78.48</f>
        <v>0.81167176350662595</v>
      </c>
      <c r="C2">
        <v>3</v>
      </c>
      <c r="D2">
        <v>-1</v>
      </c>
      <c r="E2">
        <v>11</v>
      </c>
      <c r="F2">
        <v>-1</v>
      </c>
      <c r="G2">
        <v>13</v>
      </c>
      <c r="H2">
        <v>-1</v>
      </c>
      <c r="I2">
        <v>15</v>
      </c>
      <c r="J2">
        <v>-1</v>
      </c>
      <c r="K2">
        <v>22</v>
      </c>
      <c r="L2">
        <v>-1</v>
      </c>
      <c r="M2">
        <v>33</v>
      </c>
      <c r="N2">
        <v>-1</v>
      </c>
      <c r="O2">
        <v>19</v>
      </c>
      <c r="P2">
        <v>3</v>
      </c>
      <c r="Q2">
        <v>35</v>
      </c>
      <c r="R2">
        <v>10</v>
      </c>
    </row>
    <row r="3" spans="1:18">
      <c r="A3">
        <v>11</v>
      </c>
      <c r="B3">
        <f t="shared" ref="B3:B14" si="0">(0.5*1.225*A3^2*0.8*1.3)/78.48</f>
        <v>0.98212283384301757</v>
      </c>
      <c r="C3">
        <v>3</v>
      </c>
      <c r="D3">
        <v>-1</v>
      </c>
      <c r="E3">
        <v>11</v>
      </c>
      <c r="F3">
        <v>3</v>
      </c>
      <c r="G3">
        <v>13</v>
      </c>
      <c r="H3">
        <v>3</v>
      </c>
      <c r="I3">
        <v>15</v>
      </c>
      <c r="J3">
        <v>3</v>
      </c>
      <c r="K3">
        <v>22</v>
      </c>
      <c r="L3">
        <v>3</v>
      </c>
      <c r="M3">
        <v>33</v>
      </c>
      <c r="N3">
        <v>3</v>
      </c>
    </row>
    <row r="4" spans="1:18">
      <c r="A4">
        <v>12</v>
      </c>
      <c r="B4">
        <f t="shared" si="0"/>
        <v>1.1688073394495413</v>
      </c>
      <c r="C4">
        <v>3</v>
      </c>
      <c r="D4">
        <v>-1</v>
      </c>
    </row>
    <row r="5" spans="1:18">
      <c r="A5">
        <v>13</v>
      </c>
      <c r="B5">
        <f t="shared" si="0"/>
        <v>1.3717252803261977</v>
      </c>
      <c r="C5">
        <v>3</v>
      </c>
      <c r="D5">
        <v>-1</v>
      </c>
    </row>
    <row r="6" spans="1:18">
      <c r="A6">
        <v>15</v>
      </c>
      <c r="B6">
        <f t="shared" si="0"/>
        <v>1.8262614678899083</v>
      </c>
      <c r="C6">
        <v>3</v>
      </c>
      <c r="D6">
        <v>-1</v>
      </c>
    </row>
    <row r="7" spans="1:18">
      <c r="A7">
        <v>18</v>
      </c>
      <c r="B7">
        <f t="shared" si="0"/>
        <v>2.629816513761468</v>
      </c>
      <c r="C7">
        <v>3</v>
      </c>
      <c r="D7">
        <v>-1</v>
      </c>
    </row>
    <row r="8" spans="1:18">
      <c r="A8">
        <v>20</v>
      </c>
      <c r="B8">
        <f t="shared" si="0"/>
        <v>3.2466870540265038</v>
      </c>
      <c r="C8">
        <v>3</v>
      </c>
      <c r="D8">
        <v>-1</v>
      </c>
    </row>
    <row r="9" spans="1:18">
      <c r="A9">
        <v>22</v>
      </c>
      <c r="B9">
        <f t="shared" si="0"/>
        <v>3.9284913353720703</v>
      </c>
      <c r="C9">
        <v>3</v>
      </c>
      <c r="D9">
        <v>-1</v>
      </c>
    </row>
    <row r="10" spans="1:18">
      <c r="A10">
        <v>25</v>
      </c>
      <c r="B10">
        <f t="shared" si="0"/>
        <v>5.0729485219164117</v>
      </c>
      <c r="C10">
        <v>3</v>
      </c>
      <c r="D10">
        <v>-1</v>
      </c>
    </row>
    <row r="11" spans="1:18">
      <c r="A11">
        <v>28</v>
      </c>
      <c r="B11">
        <f t="shared" si="0"/>
        <v>6.3635066258919482</v>
      </c>
      <c r="C11">
        <v>3</v>
      </c>
      <c r="D11">
        <v>-1</v>
      </c>
    </row>
    <row r="12" spans="1:18">
      <c r="A12">
        <v>30</v>
      </c>
      <c r="B12">
        <f t="shared" si="0"/>
        <v>7.3050458715596331</v>
      </c>
      <c r="C12">
        <v>3</v>
      </c>
      <c r="D12">
        <v>-1</v>
      </c>
    </row>
    <row r="13" spans="1:18">
      <c r="A13">
        <v>33</v>
      </c>
      <c r="B13">
        <f t="shared" si="0"/>
        <v>8.839105504587156</v>
      </c>
      <c r="C13">
        <v>3</v>
      </c>
      <c r="D13">
        <v>-1</v>
      </c>
    </row>
    <row r="14" spans="1:18">
      <c r="A14">
        <v>35</v>
      </c>
      <c r="B14">
        <f t="shared" si="0"/>
        <v>9.9429791029561674</v>
      </c>
      <c r="C14">
        <v>3</v>
      </c>
      <c r="D14">
        <v>-1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2026-03-25T10:07:48Z</dcterms:created>
  <dcterms:modified xsi:type="dcterms:W3CDTF">2026-03-28T20:25:22Z</dcterms:modified>
  <cp:category/>
  <cp:contentStatus/>
</cp:coreProperties>
</file>